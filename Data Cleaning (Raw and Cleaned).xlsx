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cuments\"/>
    </mc:Choice>
  </mc:AlternateContent>
  <xr:revisionPtr revIDLastSave="0" documentId="8_{829C9A4C-FD6C-4AB1-BC6B-ADE881148FDF}" xr6:coauthVersionLast="47" xr6:coauthVersionMax="47" xr10:uidLastSave="{00000000-0000-0000-0000-000000000000}"/>
  <bookViews>
    <workbookView xWindow="-110" yWindow="-110" windowWidth="19420" windowHeight="10300" xr2:uid="{52E59EAB-56BD-49AF-9E71-F0F692678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2" i="1" l="1"/>
  <c r="G52" i="1"/>
  <c r="F52" i="1"/>
  <c r="E52" i="1"/>
  <c r="D52" i="1"/>
  <c r="C52" i="1"/>
  <c r="B52" i="1"/>
  <c r="A52" i="1"/>
  <c r="F53" i="1"/>
  <c r="E53" i="1"/>
  <c r="D53" i="1"/>
  <c r="C53" i="1"/>
  <c r="B53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</calcChain>
</file>

<file path=xl/sharedStrings.xml><?xml version="1.0" encoding="utf-8"?>
<sst xmlns="http://schemas.openxmlformats.org/spreadsheetml/2006/main" count="195" uniqueCount="140">
  <si>
    <t>RAW DATA</t>
  </si>
  <si>
    <t>s/no.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</si>
  <si>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</si>
  <si>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</si>
  <si>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</si>
  <si>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</si>
  <si>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</si>
  <si>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</si>
  <si>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</si>
  <si>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</si>
  <si>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 of the  Continental Army   ( 1775â€“1783 )</t>
  </si>
  <si>
    <t>Nonpartisan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</si>
  <si>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</si>
  <si>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</si>
  <si>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</si>
  <si>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</si>
  <si>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</si>
  <si>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</si>
  <si>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</si>
  <si>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</si>
  <si>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</si>
  <si>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</si>
  <si>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</si>
  <si>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</si>
  <si>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</si>
  <si>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</si>
  <si>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</si>
  <si>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</si>
  <si>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</si>
  <si>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</si>
  <si>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</si>
  <si>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</si>
  <si>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</si>
  <si>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</si>
  <si>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</si>
  <si>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</si>
  <si>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</si>
  <si>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</si>
  <si>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</si>
  <si>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</si>
  <si>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</si>
  <si>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</si>
  <si>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</si>
  <si>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</si>
  <si>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</si>
  <si>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</si>
  <si>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</si>
  <si>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</si>
  <si>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</si>
  <si>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</si>
  <si>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</si>
  <si>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</si>
  <si>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</si>
  <si>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</si>
  <si>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</si>
  <si>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</si>
  <si>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</si>
  <si>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</si>
  <si>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</si>
  <si>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</si>
  <si>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</si>
  <si>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</si>
  <si>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</si>
  <si>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</si>
  <si>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</si>
  <si>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</si>
  <si>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</si>
  <si>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</si>
  <si>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</si>
  <si>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</si>
  <si>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</si>
  <si>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</si>
  <si>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</si>
  <si>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</si>
  <si>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</si>
  <si>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</si>
  <si>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</si>
  <si>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</si>
  <si>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</si>
  <si>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</si>
  <si>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</si>
  <si>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</si>
  <si>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</si>
  <si>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</si>
  <si>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</si>
  <si>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</si>
  <si>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</si>
  <si>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</si>
  <si>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</si>
  <si>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</si>
  <si>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</si>
  <si>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</si>
  <si>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</si>
  <si>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Demorcatic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</si>
  <si>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</si>
  <si>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</si>
  <si>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</si>
  <si>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</si>
  <si>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</si>
  <si>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</si>
  <si>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</si>
  <si>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</si>
  <si>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</si>
  <si>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</si>
  <si>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</si>
  <si>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</si>
  <si>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</si>
  <si>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</si>
  <si>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</si>
  <si>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</si>
  <si>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</si>
  <si>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</si>
  <si>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</si>
  <si>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</si>
  <si>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</si>
  <si>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</si>
  <si>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</si>
  <si>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</si>
  <si>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</si>
  <si>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</si>
  <si>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</si>
  <si>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</si>
  <si>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</si>
  <si>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</si>
  <si>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</si>
  <si>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</si>
  <si>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</si>
  <si>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</si>
  <si>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</si>
  <si>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</si>
  <si>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</si>
  <si>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</si>
  <si>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</si>
  <si>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</si>
  <si>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</si>
  <si>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</si>
  <si>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Republicans</t>
  </si>
  <si>
    <t>Mike Pence</t>
  </si>
  <si>
    <t>CLEAN DATA</t>
  </si>
  <si>
    <t>40th Vice President of the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</si>
</sst>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86D2-4341-435B-90E3-857F0E18492F}">
  <dimension ref="A1:H98"/>
  <sheetViews>
    <sheetView tabSelected="1" workbookViewId="0">
      <selection activeCell="G53" sqref="G53:H98"/>
    </sheetView>
  </sheetViews>
  <sheetFormatPr defaultRowHeight="14.5" x14ac:dyDescent="0.35"/>
  <cols>
    <col min="1" max="1" width="5.1796875" bestFit="1" customWidth="1"/>
    <col min="2" max="2" width="20.36328125" bestFit="1" customWidth="1"/>
    <col min="3" max="3" width="69.36328125" bestFit="1" customWidth="1"/>
    <col min="4" max="4" width="38.453125" bestFit="1" customWidth="1"/>
    <col min="5" max="5" width="21.453125" bestFit="1" customWidth="1"/>
    <col min="6" max="6" width="12.08984375" bestFit="1" customWidth="1"/>
    <col min="7" max="7" width="22.26953125" bestFit="1" customWidth="1"/>
    <col min="8" max="8" width="23.1796875" bestFit="1" customWidth="1"/>
  </cols>
  <sheetData>
    <row r="1" spans="1:8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s="2" t="s">
        <v>6</v>
      </c>
      <c r="G2" t="s">
        <v>7</v>
      </c>
      <c r="H2" t="s">
        <v>8</v>
      </c>
    </row>
    <row r="3" spans="1:8" x14ac:dyDescent="0.35">
      <c r="A3">
        <v>1</v>
      </c>
      <c r="B3" t="s">
        <v>9</v>
      </c>
      <c r="C3" t="s">
        <v>10</v>
      </c>
      <c r="D3" t="s">
        <v>11</v>
      </c>
      <c r="E3" t="s">
        <v>12</v>
      </c>
      <c r="F3" s="3">
        <v>5000</v>
      </c>
      <c r="G3" s="4">
        <v>44391</v>
      </c>
      <c r="H3" s="4">
        <v>40972</v>
      </c>
    </row>
    <row r="4" spans="1:8" x14ac:dyDescent="0.35">
      <c r="A4">
        <v>2</v>
      </c>
      <c r="B4" t="s">
        <v>13</v>
      </c>
      <c r="C4" t="s">
        <v>14</v>
      </c>
      <c r="D4" t="s">
        <v>15</v>
      </c>
      <c r="E4" t="s">
        <v>16</v>
      </c>
      <c r="F4" s="3">
        <v>10000</v>
      </c>
      <c r="G4" s="4">
        <v>44391</v>
      </c>
      <c r="H4" s="4">
        <v>40972</v>
      </c>
    </row>
    <row r="5" spans="1:8" x14ac:dyDescent="0.35">
      <c r="A5">
        <v>3</v>
      </c>
      <c r="B5" t="s">
        <v>16</v>
      </c>
      <c r="C5" t="s">
        <v>17</v>
      </c>
      <c r="D5" t="s">
        <v>18</v>
      </c>
      <c r="E5" t="s">
        <v>19</v>
      </c>
      <c r="F5" s="3">
        <v>15000</v>
      </c>
      <c r="G5" s="4">
        <v>44391</v>
      </c>
      <c r="H5" s="4">
        <v>40972</v>
      </c>
    </row>
    <row r="6" spans="1:8" x14ac:dyDescent="0.35">
      <c r="A6">
        <v>4</v>
      </c>
      <c r="B6" t="s">
        <v>20</v>
      </c>
      <c r="C6" t="s">
        <v>21</v>
      </c>
      <c r="D6" t="s">
        <v>18</v>
      </c>
      <c r="E6" t="s">
        <v>22</v>
      </c>
      <c r="F6" s="3">
        <v>20000</v>
      </c>
      <c r="G6" s="4">
        <v>44391</v>
      </c>
      <c r="H6" s="4">
        <v>40972</v>
      </c>
    </row>
    <row r="7" spans="1:8" x14ac:dyDescent="0.35">
      <c r="A7">
        <v>5</v>
      </c>
      <c r="B7" t="s">
        <v>23</v>
      </c>
      <c r="C7" t="s">
        <v>24</v>
      </c>
      <c r="D7" t="s">
        <v>18</v>
      </c>
      <c r="E7" t="s">
        <v>25</v>
      </c>
      <c r="F7" s="3">
        <v>25000</v>
      </c>
      <c r="G7" s="4">
        <v>44391</v>
      </c>
      <c r="H7" s="4">
        <v>40972</v>
      </c>
    </row>
    <row r="8" spans="1:8" x14ac:dyDescent="0.35">
      <c r="A8">
        <v>6</v>
      </c>
      <c r="B8" t="s">
        <v>26</v>
      </c>
      <c r="C8" t="s">
        <v>27</v>
      </c>
      <c r="D8" t="s">
        <v>18</v>
      </c>
      <c r="E8" t="s">
        <v>28</v>
      </c>
      <c r="F8" s="3">
        <v>30000</v>
      </c>
      <c r="G8" s="4">
        <v>44391</v>
      </c>
      <c r="H8" s="4">
        <v>40972</v>
      </c>
    </row>
    <row r="9" spans="1:8" x14ac:dyDescent="0.35">
      <c r="A9">
        <v>7</v>
      </c>
      <c r="B9" t="s">
        <v>29</v>
      </c>
      <c r="C9" t="s">
        <v>30</v>
      </c>
      <c r="D9" t="s">
        <v>31</v>
      </c>
      <c r="E9" t="s">
        <v>32</v>
      </c>
      <c r="F9" s="3">
        <v>35000</v>
      </c>
      <c r="G9" s="4">
        <v>44391</v>
      </c>
      <c r="H9" s="4">
        <v>40972</v>
      </c>
    </row>
    <row r="10" spans="1:8" x14ac:dyDescent="0.35">
      <c r="A10">
        <v>8</v>
      </c>
      <c r="B10" t="s">
        <v>33</v>
      </c>
      <c r="C10" t="s">
        <v>34</v>
      </c>
      <c r="D10" t="s">
        <v>31</v>
      </c>
      <c r="E10" t="s">
        <v>35</v>
      </c>
      <c r="F10" s="3">
        <v>40000</v>
      </c>
      <c r="G10" s="4">
        <v>44391</v>
      </c>
      <c r="H10" s="4">
        <v>40972</v>
      </c>
    </row>
    <row r="11" spans="1:8" x14ac:dyDescent="0.35">
      <c r="A11">
        <v>9</v>
      </c>
      <c r="B11" t="s">
        <v>36</v>
      </c>
      <c r="C11" t="s">
        <v>37</v>
      </c>
      <c r="D11" t="s">
        <v>38</v>
      </c>
      <c r="E11" t="s">
        <v>39</v>
      </c>
      <c r="F11" s="3">
        <v>45000</v>
      </c>
      <c r="G11" s="4">
        <v>44391</v>
      </c>
      <c r="H11" s="4">
        <v>40972</v>
      </c>
    </row>
    <row r="12" spans="1:8" x14ac:dyDescent="0.35">
      <c r="A12">
        <v>10</v>
      </c>
      <c r="B12" t="s">
        <v>40</v>
      </c>
      <c r="C12" t="s">
        <v>41</v>
      </c>
      <c r="D12" t="s">
        <v>42</v>
      </c>
      <c r="E12" t="s">
        <v>43</v>
      </c>
      <c r="F12" s="3">
        <v>50000</v>
      </c>
      <c r="G12" s="4">
        <v>44391</v>
      </c>
      <c r="H12" s="4">
        <v>40972</v>
      </c>
    </row>
    <row r="13" spans="1:8" x14ac:dyDescent="0.35">
      <c r="A13">
        <v>11</v>
      </c>
      <c r="B13" t="s">
        <v>44</v>
      </c>
      <c r="C13" t="s">
        <v>45</v>
      </c>
      <c r="D13" t="s">
        <v>31</v>
      </c>
      <c r="E13" t="s">
        <v>46</v>
      </c>
      <c r="F13" s="3">
        <v>55000</v>
      </c>
      <c r="G13" s="4">
        <v>44391</v>
      </c>
      <c r="H13" s="4">
        <v>40972</v>
      </c>
    </row>
    <row r="14" spans="1:8" x14ac:dyDescent="0.35">
      <c r="A14">
        <v>12</v>
      </c>
      <c r="B14" t="s">
        <v>47</v>
      </c>
      <c r="C14" t="s">
        <v>48</v>
      </c>
      <c r="D14" t="s">
        <v>38</v>
      </c>
      <c r="E14" t="s">
        <v>49</v>
      </c>
      <c r="F14" s="3">
        <v>60000</v>
      </c>
      <c r="G14" s="4">
        <v>44391</v>
      </c>
      <c r="H14" s="4">
        <v>40972</v>
      </c>
    </row>
    <row r="15" spans="1:8" x14ac:dyDescent="0.35">
      <c r="A15">
        <v>13</v>
      </c>
      <c r="B15" t="s">
        <v>50</v>
      </c>
      <c r="C15" t="s">
        <v>51</v>
      </c>
      <c r="D15" t="s">
        <v>38</v>
      </c>
      <c r="E15" t="s">
        <v>43</v>
      </c>
      <c r="F15" s="3">
        <v>65000</v>
      </c>
      <c r="G15" s="4">
        <v>44391</v>
      </c>
      <c r="H15" s="4">
        <v>40972</v>
      </c>
    </row>
    <row r="16" spans="1:8" x14ac:dyDescent="0.35">
      <c r="A16">
        <v>14</v>
      </c>
      <c r="B16" t="s">
        <v>52</v>
      </c>
      <c r="C16" t="s">
        <v>53</v>
      </c>
      <c r="D16" t="s">
        <v>31</v>
      </c>
      <c r="E16" t="s">
        <v>54</v>
      </c>
      <c r="F16" s="3">
        <v>75000</v>
      </c>
      <c r="G16" s="4">
        <v>44391</v>
      </c>
      <c r="H16" s="4">
        <v>40972</v>
      </c>
    </row>
    <row r="17" spans="1:8" x14ac:dyDescent="0.35">
      <c r="A17">
        <v>15</v>
      </c>
      <c r="B17" t="s">
        <v>55</v>
      </c>
      <c r="C17" t="s">
        <v>56</v>
      </c>
      <c r="D17" t="s">
        <v>31</v>
      </c>
      <c r="E17" t="s">
        <v>57</v>
      </c>
      <c r="F17" s="3">
        <v>85000</v>
      </c>
      <c r="G17" s="4">
        <v>44391</v>
      </c>
      <c r="H17" s="4">
        <v>40972</v>
      </c>
    </row>
    <row r="18" spans="1:8" x14ac:dyDescent="0.35">
      <c r="A18">
        <v>16</v>
      </c>
      <c r="B18" t="s">
        <v>58</v>
      </c>
      <c r="C18" t="s">
        <v>59</v>
      </c>
      <c r="D18" t="s">
        <v>60</v>
      </c>
      <c r="E18" t="s">
        <v>61</v>
      </c>
      <c r="F18" s="3">
        <v>95000</v>
      </c>
      <c r="G18" s="4">
        <v>44391</v>
      </c>
      <c r="H18" s="4">
        <v>40972</v>
      </c>
    </row>
    <row r="19" spans="1:8" x14ac:dyDescent="0.35">
      <c r="A19">
        <v>17</v>
      </c>
      <c r="B19" t="s">
        <v>62</v>
      </c>
      <c r="C19" t="s">
        <v>63</v>
      </c>
      <c r="D19" t="s">
        <v>31</v>
      </c>
      <c r="E19" t="s">
        <v>43</v>
      </c>
      <c r="F19" s="3">
        <v>105000</v>
      </c>
      <c r="G19" s="4">
        <v>44391</v>
      </c>
      <c r="H19" s="4">
        <v>40972</v>
      </c>
    </row>
    <row r="20" spans="1:8" x14ac:dyDescent="0.35">
      <c r="A20">
        <v>18</v>
      </c>
      <c r="B20" t="s">
        <v>64</v>
      </c>
      <c r="C20" t="s">
        <v>65</v>
      </c>
      <c r="D20" t="s">
        <v>60</v>
      </c>
      <c r="E20" t="s">
        <v>66</v>
      </c>
      <c r="F20" s="3">
        <v>115000</v>
      </c>
      <c r="G20" s="4">
        <v>44391</v>
      </c>
      <c r="H20" s="4">
        <v>40972</v>
      </c>
    </row>
    <row r="21" spans="1:8" x14ac:dyDescent="0.35">
      <c r="A21">
        <v>19</v>
      </c>
      <c r="B21" t="s">
        <v>67</v>
      </c>
      <c r="C21" t="s">
        <v>68</v>
      </c>
      <c r="D21" t="s">
        <v>60</v>
      </c>
      <c r="E21" t="s">
        <v>69</v>
      </c>
      <c r="F21" s="3">
        <v>125000</v>
      </c>
      <c r="G21" s="4">
        <v>44391</v>
      </c>
      <c r="H21" s="4">
        <v>40972</v>
      </c>
    </row>
    <row r="22" spans="1:8" x14ac:dyDescent="0.35">
      <c r="A22">
        <v>20</v>
      </c>
      <c r="B22" t="s">
        <v>70</v>
      </c>
      <c r="C22" t="s">
        <v>71</v>
      </c>
      <c r="D22" t="s">
        <v>60</v>
      </c>
      <c r="E22" t="s">
        <v>72</v>
      </c>
      <c r="F22" s="3">
        <v>135000</v>
      </c>
      <c r="G22" s="4">
        <v>44391</v>
      </c>
      <c r="H22" s="4">
        <v>40972</v>
      </c>
    </row>
    <row r="23" spans="1:8" x14ac:dyDescent="0.35">
      <c r="A23">
        <v>21</v>
      </c>
      <c r="B23" t="s">
        <v>72</v>
      </c>
      <c r="C23" t="s">
        <v>73</v>
      </c>
      <c r="D23" t="s">
        <v>60</v>
      </c>
      <c r="E23" t="s">
        <v>43</v>
      </c>
      <c r="F23" s="3">
        <v>145000</v>
      </c>
      <c r="G23" s="4">
        <v>44391</v>
      </c>
      <c r="H23" s="4">
        <v>40972</v>
      </c>
    </row>
    <row r="24" spans="1:8" x14ac:dyDescent="0.35">
      <c r="A24">
        <v>22</v>
      </c>
      <c r="B24" t="s">
        <v>74</v>
      </c>
      <c r="C24" t="s">
        <v>75</v>
      </c>
      <c r="D24" t="s">
        <v>31</v>
      </c>
      <c r="E24" t="s">
        <v>76</v>
      </c>
      <c r="F24" s="3">
        <v>155000</v>
      </c>
      <c r="G24" s="4">
        <v>44391</v>
      </c>
      <c r="H24" s="4">
        <v>40972</v>
      </c>
    </row>
    <row r="25" spans="1:8" x14ac:dyDescent="0.35">
      <c r="A25">
        <v>23</v>
      </c>
      <c r="B25" t="s">
        <v>77</v>
      </c>
      <c r="C25" t="s">
        <v>78</v>
      </c>
      <c r="D25" t="s">
        <v>60</v>
      </c>
      <c r="E25" t="s">
        <v>79</v>
      </c>
      <c r="F25" s="3">
        <v>165000</v>
      </c>
      <c r="G25" s="4">
        <v>44391</v>
      </c>
      <c r="H25" s="4">
        <v>40972</v>
      </c>
    </row>
    <row r="26" spans="1:8" x14ac:dyDescent="0.35">
      <c r="A26">
        <v>24</v>
      </c>
      <c r="B26" t="s">
        <v>74</v>
      </c>
      <c r="C26" t="s">
        <v>80</v>
      </c>
      <c r="D26" t="s">
        <v>31</v>
      </c>
      <c r="E26" t="s">
        <v>81</v>
      </c>
      <c r="F26" s="3">
        <v>175000</v>
      </c>
      <c r="G26" s="4">
        <v>44391</v>
      </c>
      <c r="H26" s="4">
        <v>40972</v>
      </c>
    </row>
    <row r="27" spans="1:8" x14ac:dyDescent="0.35">
      <c r="A27">
        <v>25</v>
      </c>
      <c r="B27" t="s">
        <v>82</v>
      </c>
      <c r="C27" t="s">
        <v>83</v>
      </c>
      <c r="D27" t="s">
        <v>60</v>
      </c>
      <c r="E27" t="s">
        <v>84</v>
      </c>
      <c r="F27" s="3">
        <v>185000</v>
      </c>
      <c r="G27" s="4">
        <v>44391</v>
      </c>
      <c r="H27" s="4">
        <v>40972</v>
      </c>
    </row>
    <row r="28" spans="1:8" x14ac:dyDescent="0.35">
      <c r="A28">
        <v>26</v>
      </c>
      <c r="B28" t="s">
        <v>85</v>
      </c>
      <c r="C28" t="s">
        <v>86</v>
      </c>
      <c r="D28" t="s">
        <v>60</v>
      </c>
      <c r="E28" t="s">
        <v>43</v>
      </c>
      <c r="F28" s="3">
        <v>195000</v>
      </c>
      <c r="G28" s="4">
        <v>44391</v>
      </c>
      <c r="H28" s="4">
        <v>40972</v>
      </c>
    </row>
    <row r="29" spans="1:8" x14ac:dyDescent="0.35">
      <c r="A29">
        <v>27</v>
      </c>
      <c r="B29" t="s">
        <v>87</v>
      </c>
      <c r="C29" t="s">
        <v>88</v>
      </c>
      <c r="D29" t="s">
        <v>60</v>
      </c>
      <c r="E29" t="s">
        <v>89</v>
      </c>
      <c r="F29" s="3">
        <v>205000</v>
      </c>
      <c r="G29" s="4">
        <v>44391</v>
      </c>
      <c r="H29" s="4">
        <v>40972</v>
      </c>
    </row>
    <row r="30" spans="1:8" x14ac:dyDescent="0.35">
      <c r="A30">
        <v>28</v>
      </c>
      <c r="B30" t="s">
        <v>90</v>
      </c>
      <c r="C30" t="s">
        <v>91</v>
      </c>
      <c r="D30" t="s">
        <v>31</v>
      </c>
      <c r="E30" t="s">
        <v>92</v>
      </c>
      <c r="F30" s="3">
        <v>225000</v>
      </c>
      <c r="G30" s="4">
        <v>44391</v>
      </c>
      <c r="H30" s="4">
        <v>40972</v>
      </c>
    </row>
    <row r="31" spans="1:8" x14ac:dyDescent="0.35">
      <c r="A31">
        <v>28</v>
      </c>
      <c r="B31" t="s">
        <v>90</v>
      </c>
      <c r="C31" t="s">
        <v>91</v>
      </c>
      <c r="D31" t="s">
        <v>93</v>
      </c>
      <c r="E31" t="s">
        <v>92</v>
      </c>
      <c r="F31" s="3">
        <v>225000</v>
      </c>
      <c r="G31" s="4">
        <v>44391</v>
      </c>
      <c r="H31" s="4">
        <v>40972</v>
      </c>
    </row>
    <row r="32" spans="1:8" x14ac:dyDescent="0.35">
      <c r="A32">
        <v>29</v>
      </c>
      <c r="B32" t="s">
        <v>94</v>
      </c>
      <c r="C32" t="s">
        <v>95</v>
      </c>
      <c r="D32" t="s">
        <v>60</v>
      </c>
      <c r="E32" t="s">
        <v>96</v>
      </c>
      <c r="F32" s="3">
        <v>235000</v>
      </c>
      <c r="G32" s="4">
        <v>44391</v>
      </c>
      <c r="H32" s="4">
        <v>40972</v>
      </c>
    </row>
    <row r="33" spans="1:8" x14ac:dyDescent="0.35">
      <c r="A33">
        <v>30</v>
      </c>
      <c r="B33" t="s">
        <v>96</v>
      </c>
      <c r="C33" t="s">
        <v>97</v>
      </c>
      <c r="D33" t="s">
        <v>60</v>
      </c>
      <c r="E33" t="s">
        <v>43</v>
      </c>
      <c r="F33" s="3">
        <v>245000</v>
      </c>
      <c r="G33" s="4">
        <v>44391</v>
      </c>
      <c r="H33" s="4">
        <v>40972</v>
      </c>
    </row>
    <row r="34" spans="1:8" x14ac:dyDescent="0.35">
      <c r="A34">
        <v>31</v>
      </c>
      <c r="B34" t="s">
        <v>98</v>
      </c>
      <c r="C34" t="s">
        <v>99</v>
      </c>
      <c r="D34" t="s">
        <v>60</v>
      </c>
      <c r="E34" t="s">
        <v>100</v>
      </c>
      <c r="F34" s="3">
        <v>255000</v>
      </c>
      <c r="G34" s="4">
        <v>44391</v>
      </c>
      <c r="H34" s="4">
        <v>40972</v>
      </c>
    </row>
    <row r="35" spans="1:8" x14ac:dyDescent="0.35">
      <c r="A35">
        <v>32</v>
      </c>
      <c r="B35" t="s">
        <v>101</v>
      </c>
      <c r="C35" t="s">
        <v>102</v>
      </c>
      <c r="D35" t="s">
        <v>31</v>
      </c>
      <c r="E35" t="s">
        <v>103</v>
      </c>
      <c r="F35" s="3">
        <v>265000</v>
      </c>
      <c r="G35" s="4">
        <v>44391</v>
      </c>
      <c r="H35" s="4">
        <v>40972</v>
      </c>
    </row>
    <row r="36" spans="1:8" x14ac:dyDescent="0.35">
      <c r="A36">
        <v>33</v>
      </c>
      <c r="B36" t="s">
        <v>104</v>
      </c>
      <c r="C36" t="s">
        <v>105</v>
      </c>
      <c r="D36" t="s">
        <v>31</v>
      </c>
      <c r="E36" t="s">
        <v>43</v>
      </c>
      <c r="F36" s="3">
        <v>275000</v>
      </c>
      <c r="G36" s="4">
        <v>44391</v>
      </c>
      <c r="H36" s="4">
        <v>40972</v>
      </c>
    </row>
    <row r="37" spans="1:8" x14ac:dyDescent="0.35">
      <c r="A37">
        <v>34</v>
      </c>
      <c r="B37" t="s">
        <v>106</v>
      </c>
      <c r="C37" t="s">
        <v>107</v>
      </c>
      <c r="D37" t="s">
        <v>60</v>
      </c>
      <c r="E37" t="s">
        <v>108</v>
      </c>
      <c r="F37" s="3">
        <v>285000</v>
      </c>
      <c r="G37" s="4">
        <v>44391</v>
      </c>
      <c r="H37" s="4">
        <v>40972</v>
      </c>
    </row>
    <row r="38" spans="1:8" x14ac:dyDescent="0.35">
      <c r="A38">
        <v>35</v>
      </c>
      <c r="B38" t="s">
        <v>109</v>
      </c>
      <c r="C38" t="s">
        <v>110</v>
      </c>
      <c r="D38" t="s">
        <v>31</v>
      </c>
      <c r="E38" t="s">
        <v>111</v>
      </c>
      <c r="F38" s="3">
        <v>295000</v>
      </c>
      <c r="G38" s="4">
        <v>44391</v>
      </c>
      <c r="H38" s="4">
        <v>40972</v>
      </c>
    </row>
    <row r="39" spans="1:8" x14ac:dyDescent="0.35">
      <c r="A39">
        <v>36</v>
      </c>
      <c r="B39" t="s">
        <v>111</v>
      </c>
      <c r="C39" t="s">
        <v>112</v>
      </c>
      <c r="D39" t="s">
        <v>31</v>
      </c>
      <c r="E39" t="s">
        <v>43</v>
      </c>
      <c r="F39" s="3">
        <v>305000</v>
      </c>
      <c r="G39" s="4">
        <v>44391</v>
      </c>
      <c r="H39" s="4">
        <v>40972</v>
      </c>
    </row>
    <row r="40" spans="1:8" x14ac:dyDescent="0.35">
      <c r="A40">
        <v>37</v>
      </c>
      <c r="B40" t="s">
        <v>108</v>
      </c>
      <c r="C40" t="s">
        <v>113</v>
      </c>
      <c r="D40" t="s">
        <v>60</v>
      </c>
      <c r="E40" t="s">
        <v>114</v>
      </c>
      <c r="F40" s="3">
        <v>315000</v>
      </c>
      <c r="G40" s="4">
        <v>44391</v>
      </c>
      <c r="H40" s="4">
        <v>40972</v>
      </c>
    </row>
    <row r="41" spans="1:8" x14ac:dyDescent="0.35">
      <c r="A41">
        <v>38</v>
      </c>
      <c r="B41" t="s">
        <v>115</v>
      </c>
      <c r="C41" t="s">
        <v>116</v>
      </c>
      <c r="D41" t="s">
        <v>60</v>
      </c>
      <c r="E41" t="s">
        <v>43</v>
      </c>
      <c r="F41" s="3">
        <v>325000</v>
      </c>
      <c r="G41" s="4">
        <v>44391</v>
      </c>
      <c r="H41" s="4">
        <v>40972</v>
      </c>
    </row>
    <row r="42" spans="1:8" x14ac:dyDescent="0.35">
      <c r="A42">
        <v>39</v>
      </c>
      <c r="B42" t="s">
        <v>117</v>
      </c>
      <c r="C42" t="s">
        <v>118</v>
      </c>
      <c r="D42" t="s">
        <v>31</v>
      </c>
      <c r="E42" t="s">
        <v>119</v>
      </c>
      <c r="F42" s="3">
        <v>335000</v>
      </c>
      <c r="G42" s="4">
        <v>44391</v>
      </c>
      <c r="H42" s="4">
        <v>40972</v>
      </c>
    </row>
    <row r="43" spans="1:8" x14ac:dyDescent="0.35">
      <c r="A43">
        <v>40</v>
      </c>
      <c r="B43" t="s">
        <v>120</v>
      </c>
      <c r="C43" t="s">
        <v>121</v>
      </c>
      <c r="D43" t="s">
        <v>60</v>
      </c>
      <c r="E43" t="s">
        <v>122</v>
      </c>
      <c r="F43" s="3">
        <v>345000</v>
      </c>
      <c r="G43" s="4">
        <v>44391</v>
      </c>
      <c r="H43" s="4">
        <v>40972</v>
      </c>
    </row>
    <row r="44" spans="1:8" x14ac:dyDescent="0.35">
      <c r="A44">
        <v>41</v>
      </c>
      <c r="B44" t="s">
        <v>122</v>
      </c>
      <c r="C44" t="s">
        <v>123</v>
      </c>
      <c r="D44" t="s">
        <v>60</v>
      </c>
      <c r="E44" t="s">
        <v>124</v>
      </c>
      <c r="F44" s="3">
        <v>355000</v>
      </c>
      <c r="G44" s="4">
        <v>44391</v>
      </c>
      <c r="H44" s="4">
        <v>40972</v>
      </c>
    </row>
    <row r="45" spans="1:8" x14ac:dyDescent="0.35">
      <c r="A45">
        <v>42</v>
      </c>
      <c r="B45" t="s">
        <v>125</v>
      </c>
      <c r="C45" t="s">
        <v>126</v>
      </c>
      <c r="D45" t="s">
        <v>31</v>
      </c>
      <c r="E45" t="s">
        <v>127</v>
      </c>
      <c r="F45" s="3">
        <v>365000</v>
      </c>
      <c r="G45" s="4">
        <v>44391</v>
      </c>
      <c r="H45" s="4">
        <v>40972</v>
      </c>
    </row>
    <row r="46" spans="1:8" x14ac:dyDescent="0.35">
      <c r="A46">
        <v>43</v>
      </c>
      <c r="B46" t="s">
        <v>128</v>
      </c>
      <c r="C46" t="s">
        <v>129</v>
      </c>
      <c r="D46" t="s">
        <v>60</v>
      </c>
      <c r="E46" t="s">
        <v>130</v>
      </c>
      <c r="F46" s="3">
        <v>375000</v>
      </c>
      <c r="G46" s="4">
        <v>44391</v>
      </c>
      <c r="H46" s="4">
        <v>40972</v>
      </c>
    </row>
    <row r="47" spans="1:8" x14ac:dyDescent="0.35">
      <c r="A47">
        <v>44</v>
      </c>
      <c r="B47" t="s">
        <v>131</v>
      </c>
      <c r="C47" t="s">
        <v>132</v>
      </c>
      <c r="D47" t="s">
        <v>31</v>
      </c>
      <c r="E47" t="s">
        <v>133</v>
      </c>
      <c r="F47" s="3">
        <v>395000</v>
      </c>
      <c r="G47" s="5">
        <v>44391</v>
      </c>
      <c r="H47" s="5">
        <v>43862</v>
      </c>
    </row>
    <row r="48" spans="1:8" x14ac:dyDescent="0.35">
      <c r="A48">
        <v>45</v>
      </c>
      <c r="B48" t="s">
        <v>134</v>
      </c>
      <c r="C48" t="s">
        <v>135</v>
      </c>
      <c r="D48" t="s">
        <v>136</v>
      </c>
      <c r="E48" t="s">
        <v>137</v>
      </c>
      <c r="F48" s="3">
        <v>405000</v>
      </c>
      <c r="G48" s="5">
        <v>44391</v>
      </c>
      <c r="H48" s="5">
        <v>43862</v>
      </c>
    </row>
    <row r="51" spans="1:8" x14ac:dyDescent="0.35">
      <c r="A51" s="1" t="s">
        <v>138</v>
      </c>
      <c r="B51" s="1"/>
      <c r="C51" s="1"/>
      <c r="D51" s="1"/>
      <c r="E51" s="1"/>
      <c r="F51" s="1"/>
      <c r="G51" s="1"/>
      <c r="H51" s="1"/>
    </row>
    <row r="52" spans="1:8" x14ac:dyDescent="0.35">
      <c r="A52" t="str">
        <f>UPPER(A2)</f>
        <v>S/NO.</v>
      </c>
      <c r="B52" t="str">
        <f t="shared" ref="B52:H52" si="0">UPPER(B2)</f>
        <v>PRESIDENT</v>
      </c>
      <c r="C52" t="str">
        <f t="shared" si="0"/>
        <v>PRIOR</v>
      </c>
      <c r="D52" t="str">
        <f t="shared" si="0"/>
        <v>PARTY</v>
      </c>
      <c r="E52" t="str">
        <f t="shared" si="0"/>
        <v>VICE</v>
      </c>
      <c r="F52" t="str">
        <f t="shared" si="0"/>
        <v>SALARY</v>
      </c>
      <c r="G52" t="str">
        <f t="shared" si="0"/>
        <v>DATE UPDATED</v>
      </c>
      <c r="H52" t="str">
        <f t="shared" si="0"/>
        <v>DATE CREATED</v>
      </c>
    </row>
    <row r="53" spans="1:8" x14ac:dyDescent="0.35">
      <c r="A53">
        <v>1</v>
      </c>
      <c r="B53" t="str">
        <f>PROPER(TRIM(CLEAN(B3)))</f>
        <v>George Washington</v>
      </c>
      <c r="C53" t="str">
        <f>SUBSTITUTE(TRIM(CLEAN(C3)), "â€“", " - ")</f>
        <v>Commander-in-Chief of the Continental Army ( 1775 - 1783 )</v>
      </c>
      <c r="D53" t="str">
        <f>SUBSTITUTE(SUBSTITUTE(SUBSTITUTE(SUBSTITUTE(D3, "April 4, 1841  â€“  September 13, 1841", ""), "Demorcatic", "Democratic"), "Republicans", "Republican"), "Democratic-", "Democratic -")</f>
        <v>Nonpartisan</v>
      </c>
      <c r="E53" t="str">
        <f>PROPER(TRIM(CLEAN(E3)))</f>
        <v>John Adams</v>
      </c>
      <c r="F53" s="6">
        <f>_xlfn.NUMBERVALUE(F3)</f>
        <v>5000</v>
      </c>
      <c r="G53" s="4">
        <v>44391</v>
      </c>
      <c r="H53" s="4">
        <v>40972</v>
      </c>
    </row>
    <row r="54" spans="1:8" x14ac:dyDescent="0.35">
      <c r="A54">
        <v>2</v>
      </c>
      <c r="B54" t="str">
        <f>PROPER(TRIM(CLEAN(B4)))</f>
        <v>John Adams</v>
      </c>
      <c r="C54" t="str">
        <f>SUBSTITUTE(TRIM(CLEAN(C4)), "â€“", " - ")</f>
        <v>1st Vice President of the United States</v>
      </c>
      <c r="D54" t="str">
        <f>SUBSTITUTE(SUBSTITUTE(SUBSTITUTE(SUBSTITUTE(D4, "April 4, 1841  â€“  September 13, 1841", ""), "Demorcatic", "Democratic"), "Republicans", "Republican"), "Democratic-", "Democratic -")</f>
        <v>Federalist</v>
      </c>
      <c r="E54" t="str">
        <f>PROPER(TRIM(CLEAN(E4)))</f>
        <v>Thomas Jefferson</v>
      </c>
      <c r="F54" s="6">
        <f>_xlfn.NUMBERVALUE(F4)</f>
        <v>10000</v>
      </c>
      <c r="G54" s="4">
        <v>44391</v>
      </c>
      <c r="H54" s="4">
        <v>40972</v>
      </c>
    </row>
    <row r="55" spans="1:8" x14ac:dyDescent="0.35">
      <c r="A55">
        <v>3</v>
      </c>
      <c r="B55" t="str">
        <f t="shared" ref="B55:B99" si="1">PROPER(TRIM(CLEAN(B5)))</f>
        <v>Thomas Jefferson</v>
      </c>
      <c r="C55" t="str">
        <f t="shared" ref="C55:C99" si="2">SUBSTITUTE(TRIM(CLEAN(C5)), "â€“", " - ")</f>
        <v>2nd Vice President of the United States</v>
      </c>
      <c r="D55" t="str">
        <f t="shared" ref="D55:D99" si="3">SUBSTITUTE(SUBSTITUTE(SUBSTITUTE(SUBSTITUTE(D5, "April 4, 1841  â€“  September 13, 1841", ""), "Demorcatic", "Democratic"), "Republicans", "Republican"), "Democratic-", "Democratic -")</f>
        <v>Democratic -  Republican</v>
      </c>
      <c r="E55" t="str">
        <f t="shared" ref="E55:E99" si="4">PROPER(TRIM(CLEAN(E5)))</f>
        <v>Aaron Burr</v>
      </c>
      <c r="F55" s="6">
        <f>_xlfn.NUMBERVALUE(F5)</f>
        <v>15000</v>
      </c>
      <c r="G55" s="4">
        <v>44391</v>
      </c>
      <c r="H55" s="4">
        <v>40972</v>
      </c>
    </row>
    <row r="56" spans="1:8" x14ac:dyDescent="0.35">
      <c r="A56">
        <v>4</v>
      </c>
      <c r="B56" t="str">
        <f t="shared" si="1"/>
        <v>James Madison</v>
      </c>
      <c r="C56" t="str">
        <f t="shared" si="2"/>
        <v>5th United States Secretary of State (1801 - 1809)</v>
      </c>
      <c r="D56" t="str">
        <f t="shared" si="3"/>
        <v>Democratic -  Republican</v>
      </c>
      <c r="E56" t="str">
        <f t="shared" si="4"/>
        <v>George Clinton</v>
      </c>
      <c r="F56" s="6">
        <f t="shared" ref="F56:F99" si="5">_xlfn.NUMBERVALUE(F6)</f>
        <v>20000</v>
      </c>
      <c r="G56" s="4">
        <v>44391</v>
      </c>
      <c r="H56" s="4">
        <v>40972</v>
      </c>
    </row>
    <row r="57" spans="1:8" x14ac:dyDescent="0.35">
      <c r="A57">
        <v>5</v>
      </c>
      <c r="B57" t="str">
        <f t="shared" si="1"/>
        <v>James Monroe</v>
      </c>
      <c r="C57" t="str">
        <f t="shared" si="2"/>
        <v>7th United States Secretary of State (1811 - 1817)</v>
      </c>
      <c r="D57" t="str">
        <f t="shared" si="3"/>
        <v>Democratic -  Republican</v>
      </c>
      <c r="E57" t="str">
        <f t="shared" si="4"/>
        <v>Daniel D. Tompkins</v>
      </c>
      <c r="F57" s="6">
        <f t="shared" si="5"/>
        <v>25000</v>
      </c>
      <c r="G57" s="4">
        <v>44391</v>
      </c>
      <c r="H57" s="4">
        <v>40972</v>
      </c>
    </row>
    <row r="58" spans="1:8" x14ac:dyDescent="0.35">
      <c r="A58">
        <v>6</v>
      </c>
      <c r="B58" t="str">
        <f t="shared" si="1"/>
        <v>John Quincy Adams</v>
      </c>
      <c r="C58" t="str">
        <f t="shared" si="2"/>
        <v>8th United States Secretary of State (1817 - 1825)</v>
      </c>
      <c r="D58" t="str">
        <f t="shared" si="3"/>
        <v>Democratic -  Republican</v>
      </c>
      <c r="E58" t="str">
        <f t="shared" si="4"/>
        <v>John C. Calhoun</v>
      </c>
      <c r="F58" s="6">
        <f t="shared" si="5"/>
        <v>30000</v>
      </c>
      <c r="G58" s="4">
        <v>44391</v>
      </c>
      <c r="H58" s="4">
        <v>40972</v>
      </c>
    </row>
    <row r="59" spans="1:8" x14ac:dyDescent="0.35">
      <c r="A59">
        <v>7</v>
      </c>
      <c r="B59" t="str">
        <f t="shared" si="1"/>
        <v>Andrew Jackson</v>
      </c>
      <c r="C59" t="str">
        <f t="shared" si="2"/>
        <v>U.S. Senator ( Class 2 ) from Tennessee (1823 - 1825)</v>
      </c>
      <c r="D59" t="str">
        <f t="shared" si="3"/>
        <v>Democratic</v>
      </c>
      <c r="E59" t="str">
        <f t="shared" si="4"/>
        <v>John C. Calhoun</v>
      </c>
      <c r="F59" s="6">
        <f t="shared" si="5"/>
        <v>35000</v>
      </c>
      <c r="G59" s="4">
        <v>44391</v>
      </c>
      <c r="H59" s="4">
        <v>40972</v>
      </c>
    </row>
    <row r="60" spans="1:8" x14ac:dyDescent="0.35">
      <c r="A60">
        <v>8</v>
      </c>
      <c r="B60" t="str">
        <f t="shared" si="1"/>
        <v>Martin Van Buren</v>
      </c>
      <c r="C60" t="str">
        <f t="shared" si="2"/>
        <v>8th Vice President of the United States</v>
      </c>
      <c r="D60" t="str">
        <f t="shared" si="3"/>
        <v>Democratic</v>
      </c>
      <c r="E60" t="str">
        <f>PROPER(TRIM(CLEAN(E10)))</f>
        <v>Richard Mentor Johnson</v>
      </c>
      <c r="F60" s="6">
        <f t="shared" si="5"/>
        <v>40000</v>
      </c>
      <c r="G60" s="4">
        <v>44391</v>
      </c>
      <c r="H60" s="4">
        <v>40972</v>
      </c>
    </row>
    <row r="61" spans="1:8" x14ac:dyDescent="0.35">
      <c r="A61">
        <v>9</v>
      </c>
      <c r="B61" t="str">
        <f t="shared" si="1"/>
        <v>William Henry Harrison</v>
      </c>
      <c r="C61" t="str">
        <f t="shared" si="2"/>
        <v>United States Minister to Colombia (1828 - 1829)</v>
      </c>
      <c r="D61" t="str">
        <f t="shared" si="3"/>
        <v>Whig</v>
      </c>
      <c r="E61" t="str">
        <f t="shared" si="4"/>
        <v>John Tyler</v>
      </c>
      <c r="F61" s="6">
        <f t="shared" si="5"/>
        <v>45000</v>
      </c>
      <c r="G61" s="4">
        <v>44391</v>
      </c>
      <c r="H61" s="4">
        <v>40972</v>
      </c>
    </row>
    <row r="62" spans="1:8" x14ac:dyDescent="0.35">
      <c r="A62">
        <v>10</v>
      </c>
      <c r="B62" t="str">
        <f t="shared" si="1"/>
        <v>John Tyler</v>
      </c>
      <c r="C62" t="str">
        <f t="shared" si="2"/>
        <v>10th Vice President of the United States</v>
      </c>
      <c r="D62" t="str">
        <f t="shared" si="3"/>
        <v xml:space="preserve">Whig   </v>
      </c>
      <c r="E62" t="str">
        <f t="shared" si="4"/>
        <v>Office Vacant</v>
      </c>
      <c r="F62" s="6">
        <f t="shared" si="5"/>
        <v>50000</v>
      </c>
      <c r="G62" s="4">
        <v>44391</v>
      </c>
      <c r="H62" s="4">
        <v>40972</v>
      </c>
    </row>
    <row r="63" spans="1:8" x14ac:dyDescent="0.35">
      <c r="A63">
        <v>11</v>
      </c>
      <c r="B63" t="str">
        <f t="shared" si="1"/>
        <v>James K. Polk</v>
      </c>
      <c r="C63" t="str">
        <f t="shared" si="2"/>
        <v>9th Governor of Tennessee (1839 - 1841)</v>
      </c>
      <c r="D63" t="str">
        <f t="shared" si="3"/>
        <v>Democratic</v>
      </c>
      <c r="E63" t="str">
        <f t="shared" si="4"/>
        <v>George M. Dallas</v>
      </c>
      <c r="F63" s="6">
        <f t="shared" si="5"/>
        <v>55000</v>
      </c>
      <c r="G63" s="4">
        <v>44391</v>
      </c>
      <c r="H63" s="4">
        <v>40972</v>
      </c>
    </row>
    <row r="64" spans="1:8" x14ac:dyDescent="0.35">
      <c r="A64">
        <v>12</v>
      </c>
      <c r="B64" t="str">
        <f t="shared" si="1"/>
        <v>Zachary Taylor</v>
      </c>
      <c r="C64" t="str">
        <f t="shared" si="2"/>
        <v>Major General of the 1st Infantry Regiment United States Army (1846 - 1849)</v>
      </c>
      <c r="D64" t="str">
        <f t="shared" si="3"/>
        <v>Whig</v>
      </c>
      <c r="E64" t="str">
        <f t="shared" si="4"/>
        <v>Millard Fillmore</v>
      </c>
      <c r="F64" s="6">
        <f t="shared" si="5"/>
        <v>60000</v>
      </c>
      <c r="G64" s="4">
        <v>44391</v>
      </c>
      <c r="H64" s="4">
        <v>40972</v>
      </c>
    </row>
    <row r="65" spans="1:8" x14ac:dyDescent="0.35">
      <c r="A65">
        <v>13</v>
      </c>
      <c r="B65" t="str">
        <f t="shared" si="1"/>
        <v>Millard Fillmore</v>
      </c>
      <c r="C65" t="str">
        <f t="shared" si="2"/>
        <v>12th Vice President of the United States</v>
      </c>
      <c r="D65" t="str">
        <f t="shared" si="3"/>
        <v>Whig</v>
      </c>
      <c r="E65" t="str">
        <f t="shared" si="4"/>
        <v>Office Vacant</v>
      </c>
      <c r="F65" s="6">
        <f t="shared" si="5"/>
        <v>65000</v>
      </c>
      <c r="G65" s="4">
        <v>44391</v>
      </c>
      <c r="H65" s="4">
        <v>40972</v>
      </c>
    </row>
    <row r="66" spans="1:8" x14ac:dyDescent="0.35">
      <c r="A66">
        <v>14</v>
      </c>
      <c r="B66" t="str">
        <f t="shared" si="1"/>
        <v>Franklin Pierce</v>
      </c>
      <c r="C66" t="str">
        <f t="shared" si="2"/>
        <v>Brigadier General of the 9th Infantry United States Army (1847 - 1848)</v>
      </c>
      <c r="D66" t="str">
        <f t="shared" si="3"/>
        <v>Democratic</v>
      </c>
      <c r="E66" t="str">
        <f t="shared" si="4"/>
        <v>William R. King</v>
      </c>
      <c r="F66" s="6">
        <f t="shared" si="5"/>
        <v>75000</v>
      </c>
      <c r="G66" s="4">
        <v>44391</v>
      </c>
      <c r="H66" s="4">
        <v>40972</v>
      </c>
    </row>
    <row r="67" spans="1:8" x14ac:dyDescent="0.35">
      <c r="A67">
        <v>15</v>
      </c>
      <c r="B67" t="str">
        <f t="shared" si="1"/>
        <v>James Buchanan</v>
      </c>
      <c r="C67" t="str">
        <f t="shared" si="2"/>
        <v>United States Minister to the Court of St James's (1853 - 1856)</v>
      </c>
      <c r="D67" t="str">
        <f t="shared" si="3"/>
        <v>Democratic</v>
      </c>
      <c r="E67" t="str">
        <f t="shared" si="4"/>
        <v>John C. Breckinridge</v>
      </c>
      <c r="F67" s="6">
        <f t="shared" si="5"/>
        <v>85000</v>
      </c>
      <c r="G67" s="4">
        <v>44391</v>
      </c>
      <c r="H67" s="4">
        <v>40972</v>
      </c>
    </row>
    <row r="68" spans="1:8" x14ac:dyDescent="0.35">
      <c r="A68">
        <v>16</v>
      </c>
      <c r="B68" t="str">
        <f t="shared" si="1"/>
        <v>Abraham Lincoln</v>
      </c>
      <c r="C68" t="str">
        <f t="shared" si="2"/>
        <v>U.S. Representative for Illinois' 7th District (1847 - 1849)</v>
      </c>
      <c r="D68" t="str">
        <f t="shared" si="3"/>
        <v>Republican</v>
      </c>
      <c r="E68" t="str">
        <f t="shared" si="4"/>
        <v>Hannibal Hamlin</v>
      </c>
      <c r="F68" s="6">
        <f t="shared" si="5"/>
        <v>95000</v>
      </c>
      <c r="G68" s="4">
        <v>44391</v>
      </c>
      <c r="H68" s="4">
        <v>40972</v>
      </c>
    </row>
    <row r="69" spans="1:8" x14ac:dyDescent="0.35">
      <c r="A69">
        <v>17</v>
      </c>
      <c r="B69" t="str">
        <f t="shared" si="1"/>
        <v>Andrew Johnson</v>
      </c>
      <c r="C69" t="str">
        <f t="shared" si="2"/>
        <v>16th Vice President of the United States</v>
      </c>
      <c r="D69" t="str">
        <f t="shared" si="3"/>
        <v>Democratic</v>
      </c>
      <c r="E69" t="str">
        <f t="shared" si="4"/>
        <v>Office Vacant</v>
      </c>
      <c r="F69" s="6">
        <f t="shared" si="5"/>
        <v>105000</v>
      </c>
      <c r="G69" s="4">
        <v>44391</v>
      </c>
      <c r="H69" s="4">
        <v>40972</v>
      </c>
    </row>
    <row r="70" spans="1:8" x14ac:dyDescent="0.35">
      <c r="A70">
        <v>18</v>
      </c>
      <c r="B70" t="str">
        <f t="shared" si="1"/>
        <v>Ulysses S. Grant</v>
      </c>
      <c r="C70" t="str">
        <f t="shared" si="2"/>
        <v>Commanding General of the U.S. Army ( 1864 - 1869 )</v>
      </c>
      <c r="D70" t="str">
        <f t="shared" si="3"/>
        <v>Republican</v>
      </c>
      <c r="E70" t="str">
        <f t="shared" si="4"/>
        <v>Schuyler Colfax</v>
      </c>
      <c r="F70" s="6">
        <f t="shared" si="5"/>
        <v>115000</v>
      </c>
      <c r="G70" s="4">
        <v>44391</v>
      </c>
      <c r="H70" s="4">
        <v>40972</v>
      </c>
    </row>
    <row r="71" spans="1:8" x14ac:dyDescent="0.35">
      <c r="A71">
        <v>19</v>
      </c>
      <c r="B71" t="str">
        <f t="shared" si="1"/>
        <v>Rutherford B. Hayes</v>
      </c>
      <c r="C71" t="str">
        <f t="shared" si="2"/>
        <v>29th &amp; 32nd Governor of Ohio (1868 - 1872 &amp; 1876 - 1877)</v>
      </c>
      <c r="D71" t="str">
        <f t="shared" si="3"/>
        <v>Republican</v>
      </c>
      <c r="E71" t="str">
        <f t="shared" si="4"/>
        <v>William A. Wheeler</v>
      </c>
      <c r="F71" s="6">
        <f t="shared" si="5"/>
        <v>125000</v>
      </c>
      <c r="G71" s="4">
        <v>44391</v>
      </c>
      <c r="H71" s="4">
        <v>40972</v>
      </c>
    </row>
    <row r="72" spans="1:8" x14ac:dyDescent="0.35">
      <c r="A72">
        <v>20</v>
      </c>
      <c r="B72" t="str">
        <f t="shared" si="1"/>
        <v>James A. Garfield</v>
      </c>
      <c r="C72" t="str">
        <f t="shared" si="2"/>
        <v>U.S. Representative for Ohio's 19th District (1863 - 1881)</v>
      </c>
      <c r="D72" t="str">
        <f t="shared" si="3"/>
        <v>Republican</v>
      </c>
      <c r="E72" t="str">
        <f t="shared" si="4"/>
        <v>Chester A. Arthur</v>
      </c>
      <c r="F72" s="6">
        <f t="shared" si="5"/>
        <v>135000</v>
      </c>
      <c r="G72" s="4">
        <v>44391</v>
      </c>
      <c r="H72" s="4">
        <v>40972</v>
      </c>
    </row>
    <row r="73" spans="1:8" x14ac:dyDescent="0.35">
      <c r="A73">
        <v>21</v>
      </c>
      <c r="B73" t="str">
        <f t="shared" si="1"/>
        <v>Chester A. Arthur</v>
      </c>
      <c r="C73" t="str">
        <f t="shared" si="2"/>
        <v>20th Vice President of the United States</v>
      </c>
      <c r="D73" t="str">
        <f t="shared" si="3"/>
        <v>Republican</v>
      </c>
      <c r="E73" t="str">
        <f t="shared" si="4"/>
        <v>Office Vacant</v>
      </c>
      <c r="F73" s="6">
        <f t="shared" si="5"/>
        <v>145000</v>
      </c>
      <c r="G73" s="4">
        <v>44391</v>
      </c>
      <c r="H73" s="4">
        <v>40972</v>
      </c>
    </row>
    <row r="74" spans="1:8" x14ac:dyDescent="0.35">
      <c r="A74">
        <v>22</v>
      </c>
      <c r="B74" t="str">
        <f t="shared" si="1"/>
        <v>Grover Cleveland</v>
      </c>
      <c r="C74" t="str">
        <f t="shared" si="2"/>
        <v>28th Governor of New York (1883 - 1885)</v>
      </c>
      <c r="D74" t="str">
        <f t="shared" si="3"/>
        <v>Democratic</v>
      </c>
      <c r="E74" t="str">
        <f t="shared" si="4"/>
        <v>Thomas A. Hendricks</v>
      </c>
      <c r="F74" s="6">
        <f t="shared" si="5"/>
        <v>155000</v>
      </c>
      <c r="G74" s="4">
        <v>44391</v>
      </c>
      <c r="H74" s="4">
        <v>40972</v>
      </c>
    </row>
    <row r="75" spans="1:8" x14ac:dyDescent="0.35">
      <c r="A75">
        <v>23</v>
      </c>
      <c r="B75" t="str">
        <f t="shared" si="1"/>
        <v>Benjamin Harrison</v>
      </c>
      <c r="C75" t="str">
        <f t="shared" si="2"/>
        <v>U.S. Senator ( Class 1 ) from Indiana (1881 - 1887)</v>
      </c>
      <c r="D75" t="str">
        <f t="shared" si="3"/>
        <v>Republican</v>
      </c>
      <c r="E75" t="str">
        <f t="shared" si="4"/>
        <v>Levi P. Morton</v>
      </c>
      <c r="F75" s="6">
        <f t="shared" si="5"/>
        <v>165000</v>
      </c>
      <c r="G75" s="4">
        <v>44391</v>
      </c>
      <c r="H75" s="4">
        <v>40972</v>
      </c>
    </row>
    <row r="76" spans="1:8" x14ac:dyDescent="0.35">
      <c r="A76">
        <v>24</v>
      </c>
      <c r="B76" t="str">
        <f t="shared" si="1"/>
        <v>Grover Cleveland</v>
      </c>
      <c r="C76" t="str">
        <f t="shared" si="2"/>
        <v>22nd President of the United States (1885 - 1889)</v>
      </c>
      <c r="D76" t="str">
        <f t="shared" si="3"/>
        <v>Democratic</v>
      </c>
      <c r="E76" t="str">
        <f t="shared" si="4"/>
        <v>Adlai Stevenson</v>
      </c>
      <c r="F76" s="6">
        <f t="shared" si="5"/>
        <v>175000</v>
      </c>
      <c r="G76" s="4">
        <v>44391</v>
      </c>
      <c r="H76" s="4">
        <v>40972</v>
      </c>
    </row>
    <row r="77" spans="1:8" x14ac:dyDescent="0.35">
      <c r="A77">
        <v>25</v>
      </c>
      <c r="B77" t="str">
        <f t="shared" si="1"/>
        <v>William Mckinley</v>
      </c>
      <c r="C77" t="str">
        <f t="shared" si="2"/>
        <v>39th Governor of Ohio (1892 - 1896)</v>
      </c>
      <c r="D77" t="str">
        <f t="shared" si="3"/>
        <v>Republican</v>
      </c>
      <c r="E77" t="str">
        <f t="shared" si="4"/>
        <v>Garret Hobart</v>
      </c>
      <c r="F77" s="6">
        <f t="shared" si="5"/>
        <v>185000</v>
      </c>
      <c r="G77" s="4">
        <v>44391</v>
      </c>
      <c r="H77" s="4">
        <v>40972</v>
      </c>
    </row>
    <row r="78" spans="1:8" x14ac:dyDescent="0.35">
      <c r="A78">
        <v>26</v>
      </c>
      <c r="B78" t="str">
        <f t="shared" si="1"/>
        <v>Theodore Roosevelt</v>
      </c>
      <c r="C78" t="str">
        <f t="shared" si="2"/>
        <v>25th Vice President of the United States</v>
      </c>
      <c r="D78" t="str">
        <f t="shared" si="3"/>
        <v>Republican</v>
      </c>
      <c r="E78" t="str">
        <f t="shared" si="4"/>
        <v>Office Vacant</v>
      </c>
      <c r="F78" s="6">
        <f t="shared" si="5"/>
        <v>195000</v>
      </c>
      <c r="G78" s="4">
        <v>44391</v>
      </c>
      <c r="H78" s="4">
        <v>40972</v>
      </c>
    </row>
    <row r="79" spans="1:8" x14ac:dyDescent="0.35">
      <c r="A79">
        <v>27</v>
      </c>
      <c r="B79" t="str">
        <f t="shared" si="1"/>
        <v>William Howard Taft</v>
      </c>
      <c r="C79" t="str">
        <f t="shared" si="2"/>
        <v>42nd United States Secretary of War (1904 - 1908)</v>
      </c>
      <c r="D79" t="str">
        <f t="shared" si="3"/>
        <v>Republican</v>
      </c>
      <c r="E79" t="str">
        <f t="shared" si="4"/>
        <v>James S. Sherman</v>
      </c>
      <c r="F79" s="6">
        <f t="shared" si="5"/>
        <v>205000</v>
      </c>
      <c r="G79" s="4">
        <v>44391</v>
      </c>
      <c r="H79" s="4">
        <v>40972</v>
      </c>
    </row>
    <row r="80" spans="1:8" x14ac:dyDescent="0.35">
      <c r="A80">
        <v>28</v>
      </c>
      <c r="B80" t="str">
        <f t="shared" si="1"/>
        <v>Woodrow Wilson</v>
      </c>
      <c r="C80" t="str">
        <f t="shared" si="2"/>
        <v>34th Governor of New Jersey (1911 - 1913)</v>
      </c>
      <c r="D80" t="str">
        <f t="shared" si="3"/>
        <v>Democratic</v>
      </c>
      <c r="E80" t="str">
        <f t="shared" si="4"/>
        <v>Thomas R. Marshall</v>
      </c>
      <c r="F80" s="6">
        <f t="shared" si="5"/>
        <v>225000</v>
      </c>
      <c r="G80" s="4">
        <v>44391</v>
      </c>
      <c r="H80" s="4">
        <v>40972</v>
      </c>
    </row>
    <row r="81" spans="1:8" x14ac:dyDescent="0.35">
      <c r="A81">
        <v>29</v>
      </c>
      <c r="B81" t="str">
        <f t="shared" si="1"/>
        <v>Woodrow Wilson</v>
      </c>
      <c r="C81" t="str">
        <f t="shared" si="2"/>
        <v>34th Governor of New Jersey (1911 - 1913)</v>
      </c>
      <c r="D81" t="str">
        <f t="shared" si="3"/>
        <v>Democratic</v>
      </c>
      <c r="E81" t="str">
        <f t="shared" si="4"/>
        <v>Thomas R. Marshall</v>
      </c>
      <c r="F81" s="6">
        <f t="shared" si="5"/>
        <v>225000</v>
      </c>
      <c r="G81" s="4">
        <v>44391</v>
      </c>
      <c r="H81" s="4">
        <v>40972</v>
      </c>
    </row>
    <row r="82" spans="1:8" x14ac:dyDescent="0.35">
      <c r="A82">
        <v>30</v>
      </c>
      <c r="B82" t="str">
        <f t="shared" si="1"/>
        <v>Warren G. Harding</v>
      </c>
      <c r="C82" t="str">
        <f t="shared" si="2"/>
        <v>U.S. Senator ( Class 3 ) from Ohio (1915 - 1921)</v>
      </c>
      <c r="D82" t="str">
        <f t="shared" si="3"/>
        <v>Republican</v>
      </c>
      <c r="E82" t="str">
        <f t="shared" si="4"/>
        <v>Calvin Coolidge</v>
      </c>
      <c r="F82" s="6">
        <f t="shared" si="5"/>
        <v>235000</v>
      </c>
      <c r="G82" s="4">
        <v>44391</v>
      </c>
      <c r="H82" s="4">
        <v>40972</v>
      </c>
    </row>
    <row r="83" spans="1:8" x14ac:dyDescent="0.35">
      <c r="A83">
        <v>31</v>
      </c>
      <c r="B83" t="str">
        <f t="shared" si="1"/>
        <v>Calvin Coolidge</v>
      </c>
      <c r="C83" t="str">
        <f t="shared" si="2"/>
        <v>29th Vice President of the United States</v>
      </c>
      <c r="D83" t="str">
        <f t="shared" si="3"/>
        <v>Republican</v>
      </c>
      <c r="E83" t="str">
        <f t="shared" si="4"/>
        <v>Office Vacant</v>
      </c>
      <c r="F83" s="6">
        <f t="shared" si="5"/>
        <v>245000</v>
      </c>
      <c r="G83" s="4">
        <v>44391</v>
      </c>
      <c r="H83" s="4">
        <v>40972</v>
      </c>
    </row>
    <row r="84" spans="1:8" x14ac:dyDescent="0.35">
      <c r="A84">
        <v>32</v>
      </c>
      <c r="B84" t="str">
        <f t="shared" si="1"/>
        <v>Herbert Hoover</v>
      </c>
      <c r="C84" t="str">
        <f t="shared" si="2"/>
        <v>3rd United States Secretary of Commerce (1921 - 1928)</v>
      </c>
      <c r="D84" t="str">
        <f t="shared" si="3"/>
        <v>Republican</v>
      </c>
      <c r="E84" t="str">
        <f t="shared" si="4"/>
        <v>Charles Curtis</v>
      </c>
      <c r="F84" s="6">
        <f t="shared" si="5"/>
        <v>255000</v>
      </c>
      <c r="G84" s="4">
        <v>44391</v>
      </c>
      <c r="H84" s="4">
        <v>40972</v>
      </c>
    </row>
    <row r="85" spans="1:8" x14ac:dyDescent="0.35">
      <c r="A85">
        <v>33</v>
      </c>
      <c r="B85" t="str">
        <f t="shared" si="1"/>
        <v>Franklin D. Roosevelt</v>
      </c>
      <c r="C85" t="str">
        <f t="shared" si="2"/>
        <v>44th Governor of New York ( 1929 - 1932 )</v>
      </c>
      <c r="D85" t="str">
        <f t="shared" si="3"/>
        <v>Democratic</v>
      </c>
      <c r="E85" t="str">
        <f t="shared" si="4"/>
        <v>John Nance Garner</v>
      </c>
      <c r="F85" s="6">
        <f t="shared" si="5"/>
        <v>265000</v>
      </c>
      <c r="G85" s="4">
        <v>44391</v>
      </c>
      <c r="H85" s="4">
        <v>40972</v>
      </c>
    </row>
    <row r="86" spans="1:8" x14ac:dyDescent="0.35">
      <c r="A86">
        <v>34</v>
      </c>
      <c r="B86" t="str">
        <f t="shared" si="1"/>
        <v>Harry S. Truman</v>
      </c>
      <c r="C86" t="str">
        <f t="shared" si="2"/>
        <v>34th Vice President of the United States</v>
      </c>
      <c r="D86" t="str">
        <f t="shared" si="3"/>
        <v>Democratic</v>
      </c>
      <c r="E86" t="str">
        <f t="shared" si="4"/>
        <v>Office Vacant</v>
      </c>
      <c r="F86" s="6">
        <f t="shared" si="5"/>
        <v>275000</v>
      </c>
      <c r="G86" s="4">
        <v>44391</v>
      </c>
      <c r="H86" s="4">
        <v>40972</v>
      </c>
    </row>
    <row r="87" spans="1:8" x14ac:dyDescent="0.35">
      <c r="A87">
        <v>35</v>
      </c>
      <c r="B87" t="str">
        <f t="shared" si="1"/>
        <v>Dwight D. Eisenhower</v>
      </c>
      <c r="C87" t="str">
        <f t="shared" si="2"/>
        <v>Supreme Allied Commander Europe ( 1949 - 1952 )</v>
      </c>
      <c r="D87" t="str">
        <f t="shared" si="3"/>
        <v>Republican</v>
      </c>
      <c r="E87" t="str">
        <f t="shared" si="4"/>
        <v>Richard Nixon</v>
      </c>
      <c r="F87" s="6">
        <f t="shared" si="5"/>
        <v>285000</v>
      </c>
      <c r="G87" s="4">
        <v>44391</v>
      </c>
      <c r="H87" s="4">
        <v>40972</v>
      </c>
    </row>
    <row r="88" spans="1:8" x14ac:dyDescent="0.35">
      <c r="A88">
        <v>36</v>
      </c>
      <c r="B88" t="str">
        <f t="shared" si="1"/>
        <v>John F. Kennedy</v>
      </c>
      <c r="C88" t="str">
        <f t="shared" si="2"/>
        <v>U.S. Senator ( Class 1 ) from Massachusetts (1953 - 1960)</v>
      </c>
      <c r="D88" t="str">
        <f t="shared" si="3"/>
        <v>Democratic</v>
      </c>
      <c r="E88" t="str">
        <f t="shared" si="4"/>
        <v>Lyndon B. Johnson</v>
      </c>
      <c r="F88" s="6">
        <f t="shared" si="5"/>
        <v>295000</v>
      </c>
      <c r="G88" s="4">
        <v>44391</v>
      </c>
      <c r="H88" s="4">
        <v>40972</v>
      </c>
    </row>
    <row r="89" spans="1:8" x14ac:dyDescent="0.35">
      <c r="A89">
        <v>37</v>
      </c>
      <c r="B89" t="str">
        <f t="shared" si="1"/>
        <v>Lyndon B. Johnson</v>
      </c>
      <c r="C89" t="str">
        <f t="shared" si="2"/>
        <v>37th Vice President of the United States</v>
      </c>
      <c r="D89" t="str">
        <f t="shared" si="3"/>
        <v>Democratic</v>
      </c>
      <c r="E89" t="str">
        <f t="shared" si="4"/>
        <v>Office Vacant</v>
      </c>
      <c r="F89" s="6">
        <f t="shared" si="5"/>
        <v>305000</v>
      </c>
      <c r="G89" s="4">
        <v>44391</v>
      </c>
      <c r="H89" s="4">
        <v>40972</v>
      </c>
    </row>
    <row r="90" spans="1:8" x14ac:dyDescent="0.35">
      <c r="A90">
        <v>38</v>
      </c>
      <c r="B90" t="str">
        <f t="shared" si="1"/>
        <v>Richard Nixon</v>
      </c>
      <c r="C90" t="str">
        <f t="shared" si="2"/>
        <v>36th Vice President of the United States (1953 - 1961)</v>
      </c>
      <c r="D90" t="str">
        <f t="shared" si="3"/>
        <v>Republican</v>
      </c>
      <c r="E90" t="str">
        <f t="shared" si="4"/>
        <v>Spiro Agnew</v>
      </c>
      <c r="F90" s="6">
        <f t="shared" si="5"/>
        <v>315000</v>
      </c>
      <c r="G90" s="4">
        <v>44391</v>
      </c>
      <c r="H90" s="4">
        <v>40972</v>
      </c>
    </row>
    <row r="91" spans="1:8" x14ac:dyDescent="0.35">
      <c r="A91">
        <v>39</v>
      </c>
      <c r="B91" t="str">
        <f t="shared" si="1"/>
        <v>Gerald Ford</v>
      </c>
      <c r="C91" t="str">
        <f t="shared" si="2"/>
        <v>40th Vice President of the United States</v>
      </c>
      <c r="D91" t="str">
        <f t="shared" si="3"/>
        <v>Republican</v>
      </c>
      <c r="E91" t="str">
        <f t="shared" si="4"/>
        <v>Office Vacant</v>
      </c>
      <c r="F91" s="6">
        <f t="shared" si="5"/>
        <v>325000</v>
      </c>
      <c r="G91" s="4">
        <v>44391</v>
      </c>
      <c r="H91" s="4">
        <v>40972</v>
      </c>
    </row>
    <row r="92" spans="1:8" x14ac:dyDescent="0.35">
      <c r="A92">
        <v>40</v>
      </c>
      <c r="B92" t="str">
        <f t="shared" si="1"/>
        <v>Jimmy Carter</v>
      </c>
      <c r="C92" t="str">
        <f t="shared" si="2"/>
        <v>76th Governor of Georgia (1971 - 1975)</v>
      </c>
      <c r="D92" t="str">
        <f t="shared" si="3"/>
        <v>Democratic</v>
      </c>
      <c r="E92" t="str">
        <f t="shared" si="4"/>
        <v>Walter Mondale</v>
      </c>
      <c r="F92" s="6">
        <f t="shared" si="5"/>
        <v>335000</v>
      </c>
      <c r="G92" s="4">
        <v>44391</v>
      </c>
      <c r="H92" s="4">
        <v>40972</v>
      </c>
    </row>
    <row r="93" spans="1:8" x14ac:dyDescent="0.35">
      <c r="A93">
        <v>41</v>
      </c>
      <c r="B93" t="str">
        <f t="shared" si="1"/>
        <v>Ronald Reagan</v>
      </c>
      <c r="C93" t="s">
        <v>139</v>
      </c>
      <c r="D93" t="str">
        <f t="shared" si="3"/>
        <v>Republican</v>
      </c>
      <c r="E93" t="str">
        <f t="shared" si="4"/>
        <v>George H. W. Bush</v>
      </c>
      <c r="F93" s="6">
        <f t="shared" si="5"/>
        <v>345000</v>
      </c>
      <c r="G93" s="4">
        <v>44391</v>
      </c>
      <c r="H93" s="4">
        <v>40972</v>
      </c>
    </row>
    <row r="94" spans="1:8" x14ac:dyDescent="0.35">
      <c r="A94">
        <v>42</v>
      </c>
      <c r="B94" t="str">
        <f t="shared" si="1"/>
        <v>George H. W. Bush</v>
      </c>
      <c r="C94" t="str">
        <f t="shared" si="2"/>
        <v>43rd Vice President of the United States</v>
      </c>
      <c r="D94" t="str">
        <f t="shared" si="3"/>
        <v>Republican</v>
      </c>
      <c r="E94" t="str">
        <f t="shared" si="4"/>
        <v>Dan Quayle</v>
      </c>
      <c r="F94" s="6">
        <f t="shared" si="5"/>
        <v>355000</v>
      </c>
      <c r="G94" s="4">
        <v>44391</v>
      </c>
      <c r="H94" s="4">
        <v>40972</v>
      </c>
    </row>
    <row r="95" spans="1:8" x14ac:dyDescent="0.35">
      <c r="A95">
        <v>43</v>
      </c>
      <c r="B95" t="str">
        <f t="shared" si="1"/>
        <v>Bill Clinton</v>
      </c>
      <c r="C95" t="str">
        <f t="shared" si="2"/>
        <v>40th &amp; 42nd Governor of Arkansas (1979 - 1981 &amp; 1983 - 1992)</v>
      </c>
      <c r="D95" t="str">
        <f t="shared" si="3"/>
        <v>Democratic</v>
      </c>
      <c r="E95" t="str">
        <f t="shared" si="4"/>
        <v>Al Gore</v>
      </c>
      <c r="F95" s="6">
        <f t="shared" si="5"/>
        <v>365000</v>
      </c>
      <c r="G95" s="4">
        <v>44391</v>
      </c>
      <c r="H95" s="4">
        <v>40972</v>
      </c>
    </row>
    <row r="96" spans="1:8" x14ac:dyDescent="0.35">
      <c r="A96">
        <v>44</v>
      </c>
      <c r="B96" t="str">
        <f t="shared" si="1"/>
        <v>George W. Bush</v>
      </c>
      <c r="C96" t="str">
        <f t="shared" si="2"/>
        <v>46th Governor of Texas ( 1995 - 2000 )</v>
      </c>
      <c r="D96" t="str">
        <f t="shared" si="3"/>
        <v>Republican</v>
      </c>
      <c r="E96" t="str">
        <f t="shared" si="4"/>
        <v>Dick Cheney</v>
      </c>
      <c r="F96" s="6">
        <f t="shared" si="5"/>
        <v>375000</v>
      </c>
      <c r="G96" s="4">
        <v>44391</v>
      </c>
      <c r="H96" s="4">
        <v>40972</v>
      </c>
    </row>
    <row r="97" spans="1:8" x14ac:dyDescent="0.35">
      <c r="A97">
        <v>45</v>
      </c>
      <c r="B97" t="str">
        <f t="shared" si="1"/>
        <v>Barack Obama</v>
      </c>
      <c r="C97" t="str">
        <f t="shared" si="2"/>
        <v>U.S. Senator ( Class 3 ) from Illinois ( 2005 - 2008 )</v>
      </c>
      <c r="D97" t="str">
        <f t="shared" si="3"/>
        <v>Democratic</v>
      </c>
      <c r="E97" t="str">
        <f t="shared" si="4"/>
        <v>Joe Biden</v>
      </c>
      <c r="F97" s="6">
        <f t="shared" si="5"/>
        <v>395000</v>
      </c>
      <c r="G97" s="4">
        <v>44391</v>
      </c>
      <c r="H97" s="4">
        <v>43862</v>
      </c>
    </row>
    <row r="98" spans="1:8" x14ac:dyDescent="0.35">
      <c r="A98">
        <v>46</v>
      </c>
      <c r="B98" t="str">
        <f t="shared" si="1"/>
        <v>Donald Trump</v>
      </c>
      <c r="C98" t="str">
        <f t="shared" si="2"/>
        <v>Chairman of The Trump Organization ( 1971 - present )</v>
      </c>
      <c r="D98" t="str">
        <f t="shared" si="3"/>
        <v>Republican</v>
      </c>
      <c r="E98" t="str">
        <f t="shared" si="4"/>
        <v>Mike Pence</v>
      </c>
      <c r="F98" s="6">
        <f t="shared" si="5"/>
        <v>405000</v>
      </c>
      <c r="G98" s="4">
        <v>44391</v>
      </c>
      <c r="H98" s="4">
        <v>43862</v>
      </c>
    </row>
  </sheetData>
  <mergeCells count="2">
    <mergeCell ref="A1:H1"/>
    <mergeCell ref="A51: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2026-01-04T19:47:42Z</dcterms:created>
  <dcterms:modified xsi:type="dcterms:W3CDTF">2026-01-04T19:57:20Z</dcterms:modified>
</cp:coreProperties>
</file>